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move_duplicate" sheetId="1" state="visible" r:id="rId3"/>
    <sheet name="Basic_data" sheetId="2" state="visible" r:id="rId4"/>
    <sheet name="RD 2" sheetId="3" state="visible" r:id="rId5"/>
    <sheet name="Remove blank row" sheetId="4" state="visible" r:id="rId6"/>
    <sheet name="split data" sheetId="5" state="visible" r:id="rId7"/>
  </sheets>
  <definedNames>
    <definedName function="false" hidden="false" name="aq" vbProcedure="false">Basic_data!$B$7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<sst xmlns="http://schemas.openxmlformats.org/spreadsheetml/2006/main" count="149" uniqueCount="100">
  <si>
    <t xml:space="preserve">Product_ID</t>
  </si>
  <si>
    <t xml:space="preserve">Product_Name</t>
  </si>
  <si>
    <t xml:space="preserve">Category</t>
  </si>
  <si>
    <t xml:space="preserve">Remove Spaces</t>
  </si>
  <si>
    <t xml:space="preserve">length2</t>
  </si>
  <si>
    <t xml:space="preserve">Length</t>
  </si>
  <si>
    <t xml:space="preserve">Price</t>
  </si>
  <si>
    <t xml:space="preserve">Quantity_Available</t>
  </si>
  <si>
    <t xml:space="preserve">Rating</t>
  </si>
  <si>
    <t xml:space="preserve">Seller</t>
  </si>
  <si>
    <t xml:space="preserve">stock</t>
  </si>
  <si>
    <t xml:space="preserve">Sales</t>
  </si>
  <si>
    <t xml:space="preserve">Target status</t>
  </si>
  <si>
    <t xml:space="preserve">Incentive</t>
  </si>
  <si>
    <t xml:space="preserve">incentive</t>
  </si>
  <si>
    <t xml:space="preserve">Lenovo Thinkpad X-1</t>
  </si>
  <si>
    <t xml:space="preserve">  Headphone</t>
  </si>
  <si>
    <t xml:space="preserve">Lenovo Thinkpad X0</t>
  </si>
  <si>
    <t xml:space="preserve">Headphone</t>
  </si>
  <si>
    <t xml:space="preserve">Tech Word</t>
  </si>
  <si>
    <t xml:space="preserve">Sony Wh-100Xms</t>
  </si>
  <si>
    <t xml:space="preserve">Apple Iphone 14</t>
  </si>
  <si>
    <t xml:space="preserve">Mobile</t>
  </si>
  <si>
    <t xml:space="preserve">Samsung Galaxy S23</t>
  </si>
  <si>
    <t xml:space="preserve">Sound Pro</t>
  </si>
  <si>
    <t xml:space="preserve">Lenovo Thinkpad X-3</t>
  </si>
  <si>
    <t xml:space="preserve">    Laptop</t>
  </si>
  <si>
    <t xml:space="preserve">HP Store</t>
  </si>
  <si>
    <t xml:space="preserve">Lenovo Thinkpad X1</t>
  </si>
  <si>
    <t xml:space="preserve">  Laptop</t>
  </si>
  <si>
    <t xml:space="preserve">Laptop Store</t>
  </si>
  <si>
    <t xml:space="preserve">Lenovo Thinkpad X-2</t>
  </si>
  <si>
    <t xml:space="preserve">Laptop</t>
  </si>
  <si>
    <t xml:space="preserve">Anil Verma</t>
  </si>
  <si>
    <t xml:space="preserve">Ark Singh</t>
  </si>
  <si>
    <t xml:space="preserve">Gadget Hub</t>
  </si>
  <si>
    <t xml:space="preserve">Atik Hasan</t>
  </si>
  <si>
    <t xml:space="preserve">SR NO</t>
  </si>
  <si>
    <t xml:space="preserve">NAME</t>
  </si>
  <si>
    <t xml:space="preserve">SALARY </t>
  </si>
  <si>
    <t xml:space="preserve">AGE</t>
  </si>
  <si>
    <t xml:space="preserve">CITY</t>
  </si>
  <si>
    <t xml:space="preserve">CONTACT NO</t>
  </si>
  <si>
    <t xml:space="preserve">joining date</t>
  </si>
  <si>
    <t xml:space="preserve">EMP001</t>
  </si>
  <si>
    <t xml:space="preserve">Employee_1</t>
  </si>
  <si>
    <t xml:space="preserve">RAJ</t>
  </si>
  <si>
    <t xml:space="preserve">DHA</t>
  </si>
  <si>
    <t xml:space="preserve">EMP002</t>
  </si>
  <si>
    <t xml:space="preserve">Employee_2</t>
  </si>
  <si>
    <t xml:space="preserve">EMP003</t>
  </si>
  <si>
    <t xml:space="preserve">Employee_3</t>
  </si>
  <si>
    <t xml:space="preserve">EMP004</t>
  </si>
  <si>
    <t xml:space="preserve">Employee_4</t>
  </si>
  <si>
    <t xml:space="preserve">SUB1</t>
  </si>
  <si>
    <t xml:space="preserve">SUB2</t>
  </si>
  <si>
    <t xml:space="preserve">SUB3</t>
  </si>
  <si>
    <t xml:space="preserve">Total</t>
  </si>
  <si>
    <t xml:space="preserve">max</t>
  </si>
  <si>
    <t xml:space="preserve">min</t>
  </si>
  <si>
    <t xml:space="preserve">average</t>
  </si>
  <si>
    <t xml:space="preserve">count</t>
  </si>
  <si>
    <t xml:space="preserve">EMP005</t>
  </si>
  <si>
    <t xml:space="preserve">Khul</t>
  </si>
  <si>
    <t xml:space="preserve">EMP006</t>
  </si>
  <si>
    <t xml:space="preserve">Employee_6</t>
  </si>
  <si>
    <t xml:space="preserve">EMP007</t>
  </si>
  <si>
    <t xml:space="preserve">Employee_7</t>
  </si>
  <si>
    <t xml:space="preserve">EMP008</t>
  </si>
  <si>
    <t xml:space="preserve">Employee_8</t>
  </si>
  <si>
    <t xml:space="preserve">EMP009</t>
  </si>
  <si>
    <t xml:space="preserve">Employee_9</t>
  </si>
  <si>
    <t xml:space="preserve">EMP010</t>
  </si>
  <si>
    <t xml:space="preserve">Employee_10</t>
  </si>
  <si>
    <t xml:space="preserve">marks</t>
  </si>
  <si>
    <t xml:space="preserve">Employee ID</t>
  </si>
  <si>
    <t xml:space="preserve">Name</t>
  </si>
  <si>
    <t xml:space="preserve">Department</t>
  </si>
  <si>
    <t xml:space="preserve">Contact No</t>
  </si>
  <si>
    <t xml:space="preserve">working (years)</t>
  </si>
  <si>
    <t xml:space="preserve">salary</t>
  </si>
  <si>
    <t xml:space="preserve">(AND) promotion</t>
  </si>
  <si>
    <t xml:space="preserve">(OR) promotion </t>
  </si>
  <si>
    <t xml:space="preserve">Top row</t>
  </si>
  <si>
    <t xml:space="preserve">Finance</t>
  </si>
  <si>
    <t xml:space="preserve">Operations</t>
  </si>
  <si>
    <t xml:space="preserve">Employee_5</t>
  </si>
  <si>
    <t xml:space="preserve">employee_7</t>
  </si>
  <si>
    <t xml:space="preserve">employee_9</t>
  </si>
  <si>
    <t xml:space="preserve">employee_10</t>
  </si>
  <si>
    <t xml:space="preserve">EMP011</t>
  </si>
  <si>
    <t xml:space="preserve">employee_11</t>
  </si>
  <si>
    <t xml:space="preserve">EMP012</t>
  </si>
  <si>
    <t xml:space="preserve">employee_12</t>
  </si>
  <si>
    <t xml:space="preserve">EMP013</t>
  </si>
  <si>
    <t xml:space="preserve">employee_13</t>
  </si>
  <si>
    <t xml:space="preserve">City-Pincode</t>
  </si>
  <si>
    <t xml:space="preserve">Mumbai-400056</t>
  </si>
  <si>
    <t xml:space="preserve">Pune-4123345</t>
  </si>
  <si>
    <t xml:space="preserve">Surat-234445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</si>
</sst>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dd\-mmm\-yyyy"/>
    <numFmt numFmtId="167" formatCode="[$$-409]#,000.00;[RED]\-[$$-409]#,000.00"/>
    <numFmt numFmtId="168" formatCode="#,##0"/>
    <numFmt numFmtId="169" formatCode="[$$-409]#,##0.00;[RED]\-[$$-409]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7"/>
      <color rgb="FF00000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780373"/>
        <bgColor rgb="FF800080"/>
      </patternFill>
    </fill>
    <fill>
      <patternFill patternType="solid">
        <fgColor rgb="FFDEE6EF"/>
        <bgColor rgb="FFCCFFFF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3">
    <dxf>
      <fill>
        <patternFill patternType="solid">
          <bgColor rgb="FF000000"/>
        </patternFill>
      </fill>
    </dxf>
    <dxf>
      <fill>
        <patternFill>
          <bgColor rgb="FF00A933"/>
        </patternFill>
      </fill>
      <border diagonalUp="false" diagonalDown="false">
        <left/>
        <right/>
        <top/>
        <bottom/>
        <diagonal/>
      </border>
    </dxf>
    <dxf>
      <fill>
        <patternFill>
          <bgColor rgb="FF78037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C1" colorId="64" zoomScale="160" zoomScaleNormal="16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20.7"/>
    <col collapsed="false" customWidth="true" hidden="false" outlineLevel="0" max="4" min="4" style="1" width="15.27"/>
    <col collapsed="false" customWidth="true" hidden="false" outlineLevel="0" max="8" min="8" style="0" width="16.7"/>
    <col collapsed="false" customWidth="true" hidden="false" outlineLevel="0" max="9" min="9" style="1" width="16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2.8" hidden="false" customHeight="false" outlineLevel="0" collapsed="false">
      <c r="A2" s="1" t="n">
        <v>106</v>
      </c>
      <c r="B2" s="1" t="s">
        <v>15</v>
      </c>
      <c r="C2" s="1" t="s">
        <v>16</v>
      </c>
      <c r="D2" s="1" t="str">
        <f aca="false">TRIM(C2)</f>
        <v>Headphone</v>
      </c>
      <c r="E2" s="1" t="n">
        <f aca="false">LEN(D2)</f>
        <v>9</v>
      </c>
      <c r="F2" s="1" t="n">
        <f aca="false">LEN(C2)</f>
        <v>11</v>
      </c>
      <c r="G2" s="1" t="n">
        <v>329</v>
      </c>
    </row>
    <row r="3" customFormat="false" ht="12.8" hidden="false" customHeight="false" outlineLevel="0" collapsed="false">
      <c r="A3" s="1" t="n">
        <v>107</v>
      </c>
      <c r="B3" s="1" t="s">
        <v>17</v>
      </c>
      <c r="C3" s="1" t="s">
        <v>18</v>
      </c>
      <c r="D3" s="1" t="str">
        <f aca="false">TRIM(C3)</f>
        <v>Headphone</v>
      </c>
      <c r="E3" s="1" t="n">
        <f aca="false">LEN(D3)</f>
        <v>9</v>
      </c>
      <c r="F3" s="1" t="n">
        <f aca="false">LEN(C3)</f>
        <v>9</v>
      </c>
      <c r="G3" s="1" t="n">
        <v>399</v>
      </c>
      <c r="H3" s="1"/>
      <c r="I3" s="1" t="n">
        <v>50</v>
      </c>
      <c r="J3" s="1" t="n">
        <v>4.5</v>
      </c>
      <c r="K3" s="1" t="s">
        <v>19</v>
      </c>
      <c r="L3" s="1" t="n">
        <v>0</v>
      </c>
      <c r="M3" s="1" t="n">
        <v>72704</v>
      </c>
      <c r="N3" s="1" t="str">
        <f aca="false">IF(M3&gt;=50000,"Completed","In-completed")</f>
        <v>Completed</v>
      </c>
      <c r="O3" s="1" t="n">
        <f aca="false">IF(M3&gt;75000,M3*20%,IF(M3&gt;50000,M3*15%,M3*10%))</f>
        <v>10905.6</v>
      </c>
      <c r="P3" s="1" t="n">
        <f aca="false">_xlfn.IFS(M3&gt;75000,M3*20%,M3&gt;50000,M3*15%,M3&lt;50000,M3*10%)</f>
        <v>10905.6</v>
      </c>
    </row>
    <row r="4" customFormat="false" ht="12.8" hidden="false" customHeight="false" outlineLevel="0" collapsed="false">
      <c r="A4" s="1" t="n">
        <v>103</v>
      </c>
      <c r="B4" s="1" t="s">
        <v>20</v>
      </c>
      <c r="C4" s="1" t="s">
        <v>18</v>
      </c>
      <c r="D4" s="1" t="str">
        <f aca="false">TRIM(C4)</f>
        <v>Headphone</v>
      </c>
      <c r="E4" s="1" t="n">
        <f aca="false">LEN(D4)</f>
        <v>9</v>
      </c>
      <c r="F4" s="1" t="n">
        <f aca="false">LEN(C4)</f>
        <v>9</v>
      </c>
      <c r="G4" s="1" t="n">
        <v>399</v>
      </c>
    </row>
    <row r="5" customFormat="false" ht="12.8" hidden="false" customHeight="false" outlineLevel="0" collapsed="false">
      <c r="A5" s="1" t="n">
        <v>101</v>
      </c>
      <c r="B5" s="1" t="s">
        <v>21</v>
      </c>
      <c r="C5" s="1" t="s">
        <v>22</v>
      </c>
      <c r="D5" s="1" t="str">
        <f aca="false">TRIM(C5)</f>
        <v>Mobile</v>
      </c>
      <c r="E5" s="1" t="n">
        <f aca="false">LEN(D5)</f>
        <v>6</v>
      </c>
      <c r="F5" s="1" t="n">
        <f aca="false">LEN(C5)</f>
        <v>6</v>
      </c>
      <c r="G5" s="1" t="n">
        <v>799</v>
      </c>
      <c r="M5" s="1" t="n">
        <v>71584</v>
      </c>
      <c r="N5" s="1" t="str">
        <f aca="false">IF(M5&gt;=50000,"Completed","In-completed")</f>
        <v>Completed</v>
      </c>
      <c r="O5" s="1" t="n">
        <f aca="false">IF(M5&gt;75000,M5*20%,IF(M5&gt;50000,M5*15%,M5*10%))</f>
        <v>10737.6</v>
      </c>
      <c r="P5" s="1" t="n">
        <f aca="false">_xlfn.IFS(M5&gt;75000,M5*20%,M5&gt;50000,M5*15%,M5&lt;50000,M5*10%)</f>
        <v>10737.6</v>
      </c>
    </row>
    <row r="6" customFormat="false" ht="12.8" hidden="false" customHeight="false" outlineLevel="0" collapsed="false">
      <c r="A6" s="1" t="n">
        <v>102</v>
      </c>
      <c r="B6" s="1" t="s">
        <v>23</v>
      </c>
      <c r="C6" s="1" t="s">
        <v>22</v>
      </c>
      <c r="D6" s="1" t="str">
        <f aca="false">TRIM(C6)</f>
        <v>Mobile</v>
      </c>
      <c r="E6" s="1" t="n">
        <f aca="false">LEN(D6)</f>
        <v>6</v>
      </c>
      <c r="F6" s="1" t="n">
        <f aca="false">LEN(C6)</f>
        <v>6</v>
      </c>
      <c r="G6" s="1" t="n">
        <v>999</v>
      </c>
      <c r="H6" s="1"/>
      <c r="I6" s="1" t="n">
        <v>25</v>
      </c>
      <c r="J6" s="1" t="n">
        <v>4.4</v>
      </c>
      <c r="K6" s="1" t="s">
        <v>24</v>
      </c>
      <c r="L6" s="1" t="n">
        <v>31</v>
      </c>
      <c r="M6" s="1" t="n">
        <v>75613</v>
      </c>
      <c r="N6" s="1" t="str">
        <f aca="false">IF(M6&gt;=50000,"Completed","In-completed")</f>
        <v>Completed</v>
      </c>
      <c r="O6" s="1" t="n">
        <f aca="false">IF(M6&gt;75000,M6*20%,IF(M6&gt;50000,M6*15%,M6*10%))</f>
        <v>15122.6</v>
      </c>
      <c r="P6" s="1" t="n">
        <f aca="false">_xlfn.IFS(M6&gt;75000,M6*20%,M6&gt;50000,M6*15%,M6&lt;50000,M6*10%)</f>
        <v>15122.6</v>
      </c>
    </row>
    <row r="7" customFormat="false" ht="12.8" hidden="false" customHeight="false" outlineLevel="0" collapsed="false">
      <c r="A7" s="1" t="n">
        <v>104</v>
      </c>
      <c r="B7" s="1" t="s">
        <v>25</v>
      </c>
      <c r="C7" s="1" t="s">
        <v>26</v>
      </c>
      <c r="D7" s="1" t="str">
        <f aca="false">TRIM(C7)</f>
        <v>Laptop</v>
      </c>
      <c r="E7" s="1" t="n">
        <f aca="false">LEN(D7)</f>
        <v>6</v>
      </c>
      <c r="F7" s="1" t="n">
        <f aca="false">LEN(C7)</f>
        <v>10</v>
      </c>
      <c r="G7" s="1" t="n">
        <v>1249</v>
      </c>
      <c r="H7" s="1"/>
      <c r="I7" s="1" t="n">
        <v>8</v>
      </c>
      <c r="J7" s="1" t="n">
        <v>4.7</v>
      </c>
      <c r="K7" s="1" t="s">
        <v>27</v>
      </c>
      <c r="L7" s="1" t="n">
        <v>0</v>
      </c>
      <c r="M7" s="1" t="n">
        <v>47487</v>
      </c>
      <c r="N7" s="1" t="str">
        <f aca="false">IF(M7&gt;=50000,"Completed","In-completed")</f>
        <v>In-completed</v>
      </c>
      <c r="O7" s="1" t="n">
        <f aca="false">IF(M7&gt;75000,M7*20%,IF(M7&gt;50000,M7*15%,M7*10%))</f>
        <v>4748.7</v>
      </c>
      <c r="P7" s="1" t="n">
        <f aca="false">_xlfn.IFS(M7&gt;75000,M7*20%,M7&gt;50000,M7*15%,M7&lt;50000,M7*10%)</f>
        <v>4748.7</v>
      </c>
    </row>
    <row r="8" customFormat="false" ht="12.8" hidden="false" customHeight="false" outlineLevel="0" collapsed="false">
      <c r="A8" s="1" t="n">
        <v>108</v>
      </c>
      <c r="B8" s="1" t="s">
        <v>28</v>
      </c>
      <c r="C8" s="1" t="s">
        <v>29</v>
      </c>
      <c r="D8" s="1" t="str">
        <f aca="false">TRIM(C8)</f>
        <v>Laptop</v>
      </c>
      <c r="E8" s="1" t="n">
        <f aca="false">LEN(D8)</f>
        <v>6</v>
      </c>
      <c r="F8" s="1" t="n">
        <f aca="false">LEN(C8)</f>
        <v>8</v>
      </c>
      <c r="G8" s="1" t="n">
        <v>1299</v>
      </c>
      <c r="H8" s="1"/>
      <c r="I8" s="1" t="n">
        <v>10</v>
      </c>
      <c r="J8" s="1" t="n">
        <v>4.8</v>
      </c>
      <c r="K8" s="1" t="s">
        <v>30</v>
      </c>
      <c r="L8" s="1" t="n">
        <v>69</v>
      </c>
      <c r="M8" s="1" t="n">
        <v>30681</v>
      </c>
      <c r="N8" s="1" t="str">
        <f aca="false">IF(M8&gt;=50000,"Completed","In-completed")</f>
        <v>In-completed</v>
      </c>
      <c r="O8" s="1" t="n">
        <f aca="false">IF(M8&gt;75000,M8*20%,IF(M8&gt;50000,M8*15%,M8*10%))</f>
        <v>3068.1</v>
      </c>
      <c r="P8" s="1" t="n">
        <f aca="false">_xlfn.IFS(M8&gt;75000,M8*20%,M8&gt;50000,M8*15%,M8&lt;50000,M8*10%)</f>
        <v>3068.1</v>
      </c>
    </row>
    <row r="9" customFormat="false" ht="12.8" hidden="false" customHeight="false" outlineLevel="0" collapsed="false">
      <c r="A9" s="1" t="n">
        <v>105</v>
      </c>
      <c r="B9" s="1" t="s">
        <v>31</v>
      </c>
      <c r="C9" s="1" t="s">
        <v>32</v>
      </c>
      <c r="D9" s="1" t="str">
        <f aca="false">TRIM(C9)</f>
        <v>Laptop</v>
      </c>
      <c r="E9" s="1" t="n">
        <f aca="false">LEN(D9)</f>
        <v>6</v>
      </c>
      <c r="F9" s="1" t="n">
        <f aca="false">LEN(C9)</f>
        <v>6</v>
      </c>
      <c r="G9" s="1" t="n">
        <v>1349</v>
      </c>
      <c r="H9" s="1"/>
      <c r="I9" s="1" t="n">
        <v>15</v>
      </c>
      <c r="J9" s="1" t="n">
        <v>4.6</v>
      </c>
      <c r="K9" s="1" t="s">
        <v>24</v>
      </c>
      <c r="L9" s="1" t="n">
        <v>0</v>
      </c>
      <c r="M9" s="1" t="n">
        <v>63671</v>
      </c>
      <c r="N9" s="1" t="str">
        <f aca="false">IF(M9&gt;=50000,"Completed","In-completed")</f>
        <v>Completed</v>
      </c>
      <c r="O9" s="1" t="n">
        <f aca="false">IF(M9&gt;75000,M9*20%,IF(M9&gt;50000,M9*15%,M9*10%))</f>
        <v>9550.65</v>
      </c>
      <c r="P9" s="1" t="n">
        <f aca="false">_xlfn.IFS(M9&gt;75000,M9*20%,M9&gt;50000,M9*15%,M9&lt;50000,M9*10%)</f>
        <v>9550.65</v>
      </c>
    </row>
    <row r="10" customFormat="false" ht="12.8" hidden="false" customHeight="true" outlineLevel="0" collapsed="false">
      <c r="B10" s="1" t="s">
        <v>33</v>
      </c>
      <c r="H10" s="1"/>
      <c r="I10" s="1" t="n">
        <v>6</v>
      </c>
      <c r="J10" s="1" t="n">
        <v>4.8</v>
      </c>
      <c r="K10" s="1" t="s">
        <v>30</v>
      </c>
      <c r="L10" s="1" t="n">
        <v>78</v>
      </c>
      <c r="M10" s="1" t="n">
        <v>38966</v>
      </c>
      <c r="N10" s="1" t="str">
        <f aca="false">IF(M10&gt;=50000,"Completed","In-completed")</f>
        <v>In-completed</v>
      </c>
      <c r="O10" s="1" t="n">
        <f aca="false">IF(M10&gt;75000,M10*20%,IF(M10&gt;50000,M10*15%,M10*10%))</f>
        <v>3896.6</v>
      </c>
      <c r="P10" s="1" t="n">
        <f aca="false">_xlfn.IFS(M10&gt;75000,M10*20%,M10&gt;50000,M10*15%,M10&lt;50000,M10*10%)</f>
        <v>3896.6</v>
      </c>
    </row>
    <row r="11" customFormat="false" ht="12.8" hidden="false" customHeight="true" outlineLevel="0" collapsed="false">
      <c r="B11" s="1" t="s">
        <v>34</v>
      </c>
      <c r="H11" s="1"/>
      <c r="I11" s="1" t="n">
        <v>30</v>
      </c>
      <c r="J11" s="1" t="n">
        <v>4.7</v>
      </c>
      <c r="K11" s="1" t="s">
        <v>35</v>
      </c>
      <c r="L11" s="1" t="n">
        <v>40</v>
      </c>
      <c r="M11" s="1" t="n">
        <v>44718</v>
      </c>
      <c r="N11" s="1" t="str">
        <f aca="false">IF(M11&gt;=50000,"Completed","In-completed")</f>
        <v>In-completed</v>
      </c>
      <c r="O11" s="1" t="n">
        <f aca="false">IF(M11&gt;75000,M11*20%,IF(M11&gt;50000,M11*15%,M11*10%))</f>
        <v>4471.8</v>
      </c>
      <c r="P11" s="1" t="n">
        <f aca="false">_xlfn.IFS(M11&gt;75000,M11*20%,M11&gt;50000,M11*15%,M11&lt;50000,M11*10%)</f>
        <v>4471.8</v>
      </c>
    </row>
    <row r="12" customFormat="false" ht="12.8" hidden="false" customHeight="true" outlineLevel="0" collapsed="false">
      <c r="B12" s="3" t="s">
        <v>36</v>
      </c>
      <c r="H12" s="1"/>
      <c r="I12" s="1" t="n">
        <v>15</v>
      </c>
      <c r="J12" s="1" t="n">
        <v>4.6</v>
      </c>
      <c r="K12" s="1" t="s">
        <v>24</v>
      </c>
      <c r="L12" s="1" t="n">
        <v>26</v>
      </c>
      <c r="M12" s="1" t="n">
        <v>35210</v>
      </c>
      <c r="N12" s="1" t="str">
        <f aca="false">IF(M12&gt;=50000,"Completed","In-completed")</f>
        <v>In-completed</v>
      </c>
      <c r="O12" s="1" t="n">
        <f aca="false">IF(M12&gt;75000,M12*20%,IF(M12&gt;50000,M12*15%,M12*10%))</f>
        <v>3521</v>
      </c>
      <c r="P12" s="1" t="n">
        <f aca="false">_xlfn.IFS(M12&gt;75000,M12*20%,M12&gt;50000,M12*15%,M12&lt;50000,M12*10%)</f>
        <v>3521</v>
      </c>
    </row>
    <row r="13" customFormat="false" ht="12.8" hidden="false" customHeight="true" outlineLevel="0" collapsed="false">
      <c r="M13" s="1" t="n">
        <v>77052</v>
      </c>
      <c r="N13" s="1" t="str">
        <f aca="false">IF(M13&gt;=50000,"Completed","In-completed")</f>
        <v>Completed</v>
      </c>
      <c r="O13" s="1" t="n">
        <f aca="false">IF(M13&gt;75000,M13*20%,IF(M13&gt;50000,M13*15%,M13*10%))</f>
        <v>15410.4</v>
      </c>
      <c r="P13" s="1" t="n">
        <f aca="false">_xlfn.IFS(M13&gt;75000,M13*20%,M13&gt;50000,M13*15%,M13&lt;50000,M13*10%)</f>
        <v>15410.4</v>
      </c>
    </row>
    <row r="14" customFormat="false" ht="12.8" hidden="false" customHeight="true" outlineLevel="0" collapsed="false">
      <c r="M14" s="1" t="n">
        <v>86570</v>
      </c>
      <c r="N14" s="1" t="str">
        <f aca="false">IF(M14&gt;=50000,"Completed","In-completed")</f>
        <v>Completed</v>
      </c>
      <c r="O14" s="1" t="n">
        <f aca="false">IF(M14&gt;75000,M14*20%,IF(M14&gt;50000,M14*15%,M14*10%))</f>
        <v>17314</v>
      </c>
      <c r="P14" s="1" t="n">
        <f aca="false">_xlfn.IFS(M14&gt;75000,M14*20%,M14&gt;50000,M14*15%,M14&lt;50000,M14*10%)</f>
        <v>17314</v>
      </c>
    </row>
    <row r="15" customFormat="false" ht="12.8" hidden="false" customHeight="true" outlineLevel="0" collapsed="false">
      <c r="M15" s="1" t="n">
        <v>30250</v>
      </c>
      <c r="N15" s="1" t="str">
        <f aca="false">IF(M15&gt;=50000,"Completed","In-completed")</f>
        <v>In-completed</v>
      </c>
      <c r="O15" s="1" t="n">
        <f aca="false">IF(M15&gt;75000,M15*20%,IF(M15&gt;50000,M15*15%,M15*10%))</f>
        <v>3025</v>
      </c>
      <c r="P15" s="1" t="n">
        <f aca="false">_xlfn.IFS(M15&gt;75000,M15*20%,M15&gt;50000,M15*15%,M15&lt;50000,M15*10%)</f>
        <v>3025</v>
      </c>
    </row>
  </sheetData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4" colorId="64" zoomScale="160" zoomScaleNormal="1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20.63"/>
    <col collapsed="false" customWidth="true" hidden="false" outlineLevel="0" max="3" min="3" style="1" width="11.82"/>
    <col collapsed="false" customWidth="true" hidden="false" outlineLevel="0" max="4" min="4" style="1" width="5.47"/>
    <col collapsed="false" customWidth="true" hidden="false" outlineLevel="0" max="5" min="5" style="1" width="5.75"/>
    <col collapsed="false" customWidth="true" hidden="false" outlineLevel="0" max="6" min="6" style="1" width="13.4"/>
    <col collapsed="false" customWidth="true" hidden="false" outlineLevel="0" max="7" min="7" style="2" width="20.85"/>
    <col collapsed="false" customWidth="false" hidden="false" outlineLevel="0" max="8" min="8" style="2" width="11.53"/>
  </cols>
  <sheetData>
    <row r="1" customFormat="false" ht="12.8" hidden="false" customHeight="false" outlineLevel="0" collapsed="false">
      <c r="A1" s="4" t="s">
        <v>37</v>
      </c>
      <c r="B1" s="4" t="s">
        <v>38</v>
      </c>
      <c r="C1" s="5" t="s">
        <v>39</v>
      </c>
      <c r="D1" s="4" t="s">
        <v>40</v>
      </c>
      <c r="E1" s="4" t="s">
        <v>41</v>
      </c>
      <c r="F1" s="4" t="s">
        <v>42</v>
      </c>
      <c r="G1" s="6" t="s">
        <v>43</v>
      </c>
      <c r="H1" s="7"/>
      <c r="I1" s="8"/>
      <c r="J1" s="8"/>
      <c r="K1" s="8"/>
      <c r="L1" s="8"/>
      <c r="M1" s="8"/>
      <c r="N1" s="8"/>
      <c r="O1" s="8"/>
      <c r="P1" s="8"/>
      <c r="Q1" s="8"/>
    </row>
    <row r="2" customFormat="false" ht="12.8" hidden="false" customHeight="false" outlineLevel="0" collapsed="false">
      <c r="A2" s="9" t="s">
        <v>44</v>
      </c>
      <c r="B2" s="9" t="s">
        <v>45</v>
      </c>
      <c r="C2" s="10" t="n">
        <v>41954</v>
      </c>
      <c r="D2" s="9" t="n">
        <v>27</v>
      </c>
      <c r="E2" s="9" t="s">
        <v>46</v>
      </c>
      <c r="F2" s="9" t="n">
        <v>1827693853</v>
      </c>
      <c r="G2" s="11" t="n">
        <v>40179</v>
      </c>
      <c r="H2" s="12" t="s">
        <v>47</v>
      </c>
    </row>
    <row r="3" customFormat="false" ht="12.8" hidden="false" customHeight="false" outlineLevel="0" collapsed="false">
      <c r="A3" s="9" t="s">
        <v>48</v>
      </c>
      <c r="B3" s="9" t="s">
        <v>49</v>
      </c>
      <c r="C3" s="10" t="n">
        <v>49855</v>
      </c>
      <c r="D3" s="9" t="n">
        <v>28</v>
      </c>
      <c r="E3" s="9" t="s">
        <v>46</v>
      </c>
      <c r="F3" s="9" t="n">
        <v>1728970523</v>
      </c>
      <c r="G3" s="11" t="n">
        <v>40180</v>
      </c>
      <c r="H3" s="12"/>
    </row>
    <row r="4" customFormat="false" ht="12.8" hidden="false" customHeight="false" outlineLevel="0" collapsed="false">
      <c r="A4" s="9" t="s">
        <v>50</v>
      </c>
      <c r="B4" s="9" t="s">
        <v>51</v>
      </c>
      <c r="C4" s="10" t="n">
        <v>57756</v>
      </c>
      <c r="D4" s="9" t="n">
        <v>25</v>
      </c>
      <c r="E4" s="9" t="s">
        <v>47</v>
      </c>
      <c r="F4" s="9" t="n">
        <v>1630247193</v>
      </c>
      <c r="G4" s="11" t="n">
        <v>40181</v>
      </c>
      <c r="H4" s="12"/>
    </row>
    <row r="5" customFormat="false" ht="12.8" hidden="false" customHeight="false" outlineLevel="0" collapsed="false">
      <c r="A5" s="9" t="s">
        <v>52</v>
      </c>
      <c r="B5" s="9" t="s">
        <v>53</v>
      </c>
      <c r="C5" s="10" t="n">
        <v>65657</v>
      </c>
      <c r="D5" s="9" t="n">
        <v>40</v>
      </c>
      <c r="E5" s="9" t="s">
        <v>47</v>
      </c>
      <c r="F5" s="9" t="n">
        <v>1531523863</v>
      </c>
      <c r="G5" s="11" t="n">
        <v>40182</v>
      </c>
      <c r="H5" s="12"/>
      <c r="J5" s="2" t="s">
        <v>54</v>
      </c>
      <c r="K5" s="2" t="s">
        <v>55</v>
      </c>
      <c r="L5" s="2" t="s">
        <v>56</v>
      </c>
      <c r="M5" s="13" t="s">
        <v>57</v>
      </c>
      <c r="N5" s="2" t="s">
        <v>58</v>
      </c>
      <c r="O5" s="2" t="s">
        <v>59</v>
      </c>
      <c r="P5" s="2" t="s">
        <v>60</v>
      </c>
      <c r="Q5" s="2" t="s">
        <v>61</v>
      </c>
    </row>
    <row r="6" customFormat="false" ht="12.8" hidden="false" customHeight="false" outlineLevel="0" collapsed="false">
      <c r="A6" s="9" t="s">
        <v>62</v>
      </c>
      <c r="B6" s="9" t="s">
        <v>51</v>
      </c>
      <c r="C6" s="10" t="n">
        <v>73558</v>
      </c>
      <c r="D6" s="9" t="n">
        <v>40</v>
      </c>
      <c r="E6" s="9" t="s">
        <v>63</v>
      </c>
      <c r="F6" s="9" t="n">
        <v>1432800533</v>
      </c>
      <c r="G6" s="11" t="n">
        <v>40183</v>
      </c>
      <c r="H6" s="12"/>
      <c r="J6" s="2" t="n">
        <f aca="false">RANDBETWEEN(10,99)</f>
        <v>90</v>
      </c>
      <c r="K6" s="2" t="n">
        <f aca="false">RANDBETWEEN(10,99)</f>
        <v>65</v>
      </c>
      <c r="L6" s="2" t="n">
        <f aca="false">RANDBETWEEN(10,99)</f>
        <v>27</v>
      </c>
      <c r="M6" s="14" t="n">
        <f aca="false">SUM(J6:L6)+$K$18</f>
        <v>192</v>
      </c>
      <c r="N6" s="2" t="n">
        <f aca="false">MAX(J6:L6)</f>
        <v>90</v>
      </c>
      <c r="O6" s="2" t="n">
        <f aca="false">MIN(J6:L6)</f>
        <v>27</v>
      </c>
      <c r="P6" s="2" t="n">
        <f aca="false">AVERAGE(J6:L6)</f>
        <v>60.6666666666667</v>
      </c>
      <c r="Q6" s="2" t="n">
        <f aca="false">COUNT(J6:L6)</f>
        <v>3</v>
      </c>
    </row>
    <row r="7" customFormat="false" ht="12.8" hidden="false" customHeight="false" outlineLevel="0" collapsed="false">
      <c r="A7" s="9" t="s">
        <v>64</v>
      </c>
      <c r="B7" s="9" t="s">
        <v>65</v>
      </c>
      <c r="C7" s="10" t="n">
        <v>81459</v>
      </c>
      <c r="D7" s="9" t="n">
        <v>35</v>
      </c>
      <c r="E7" s="9" t="s">
        <v>63</v>
      </c>
      <c r="F7" s="9" t="n">
        <v>1334077203</v>
      </c>
      <c r="G7" s="11" t="n">
        <v>40184</v>
      </c>
      <c r="H7" s="12"/>
      <c r="J7" s="2" t="n">
        <f aca="false">RANDBETWEEN(10,99)</f>
        <v>89</v>
      </c>
      <c r="K7" s="2" t="n">
        <f aca="false">RANDBETWEEN(10,99)</f>
        <v>90</v>
      </c>
      <c r="L7" s="2" t="n">
        <f aca="false">RANDBETWEEN(10,99)</f>
        <v>80</v>
      </c>
      <c r="M7" s="14" t="n">
        <f aca="false">SUM(J7:L7)+$K$18</f>
        <v>269</v>
      </c>
      <c r="N7" s="2" t="n">
        <f aca="false">MAX(J7:L7)</f>
        <v>90</v>
      </c>
      <c r="O7" s="2" t="n">
        <f aca="false">MIN(J7:L7)</f>
        <v>80</v>
      </c>
      <c r="P7" s="2" t="n">
        <f aca="false">AVERAGE(J7:L7)</f>
        <v>86.3333333333333</v>
      </c>
      <c r="Q7" s="2" t="n">
        <f aca="false">COUNT(J7:L7)</f>
        <v>3</v>
      </c>
    </row>
    <row r="8" customFormat="false" ht="12.8" hidden="false" customHeight="false" outlineLevel="0" collapsed="false">
      <c r="A8" s="9" t="s">
        <v>66</v>
      </c>
      <c r="B8" s="9" t="s">
        <v>67</v>
      </c>
      <c r="C8" s="10" t="n">
        <v>89360</v>
      </c>
      <c r="D8" s="9" t="n">
        <v>30</v>
      </c>
      <c r="E8" s="9" t="s">
        <v>46</v>
      </c>
      <c r="F8" s="9" t="n">
        <v>1235353873</v>
      </c>
      <c r="G8" s="11" t="n">
        <v>40185</v>
      </c>
      <c r="H8" s="12"/>
      <c r="J8" s="2" t="n">
        <f aca="false">RANDBETWEEN(10,99)</f>
        <v>17</v>
      </c>
      <c r="K8" s="2" t="n">
        <f aca="false">RANDBETWEEN(10,99)</f>
        <v>29</v>
      </c>
      <c r="L8" s="2" t="n">
        <f aca="false">RANDBETWEEN(10,99)</f>
        <v>89</v>
      </c>
      <c r="M8" s="14" t="n">
        <f aca="false">SUM(J8:L8)+$K$18</f>
        <v>145</v>
      </c>
      <c r="N8" s="2" t="n">
        <f aca="false">MAX(J8:L8)</f>
        <v>89</v>
      </c>
      <c r="O8" s="2" t="n">
        <f aca="false">MIN(J8:L8)</f>
        <v>17</v>
      </c>
      <c r="P8" s="2" t="n">
        <f aca="false">AVERAGE(J8:L8)</f>
        <v>45</v>
      </c>
      <c r="Q8" s="2" t="n">
        <f aca="false">COUNT(J8:L8)</f>
        <v>3</v>
      </c>
    </row>
    <row r="9" customFormat="false" ht="12.8" hidden="false" customHeight="false" outlineLevel="0" collapsed="false">
      <c r="A9" s="9" t="s">
        <v>68</v>
      </c>
      <c r="B9" s="9" t="s">
        <v>69</v>
      </c>
      <c r="C9" s="10" t="n">
        <v>97261</v>
      </c>
      <c r="D9" s="9" t="n">
        <v>37</v>
      </c>
      <c r="E9" s="9" t="s">
        <v>46</v>
      </c>
      <c r="F9" s="9" t="n">
        <v>1136630543</v>
      </c>
      <c r="G9" s="11" t="n">
        <v>40186</v>
      </c>
      <c r="H9" s="12"/>
      <c r="J9" s="2" t="n">
        <f aca="false">RANDBETWEEN(10,99)</f>
        <v>74</v>
      </c>
      <c r="K9" s="2" t="n">
        <f aca="false">RANDBETWEEN(10,99)</f>
        <v>33</v>
      </c>
      <c r="L9" s="2" t="n">
        <f aca="false">RANDBETWEEN(10,99)</f>
        <v>87</v>
      </c>
      <c r="M9" s="14" t="n">
        <f aca="false">SUM(J9:L9)+$K$18</f>
        <v>204</v>
      </c>
      <c r="N9" s="2" t="n">
        <f aca="false">MAX(J9:L9)</f>
        <v>87</v>
      </c>
      <c r="O9" s="2" t="n">
        <f aca="false">MIN(J9:L9)</f>
        <v>33</v>
      </c>
      <c r="P9" s="2" t="n">
        <f aca="false">AVERAGE(J9:L9)</f>
        <v>64.6666666666667</v>
      </c>
      <c r="Q9" s="2" t="n">
        <f aca="false">COUNT(J9:L9)</f>
        <v>3</v>
      </c>
    </row>
    <row r="10" customFormat="false" ht="12.8" hidden="false" customHeight="false" outlineLevel="0" collapsed="false">
      <c r="A10" s="9" t="s">
        <v>70</v>
      </c>
      <c r="B10" s="9" t="s">
        <v>71</v>
      </c>
      <c r="C10" s="10" t="n">
        <v>105162</v>
      </c>
      <c r="D10" s="9" t="n">
        <v>45</v>
      </c>
      <c r="E10" s="9" t="s">
        <v>47</v>
      </c>
      <c r="F10" s="9" t="n">
        <v>1037907213</v>
      </c>
      <c r="G10" s="11" t="n">
        <v>40187</v>
      </c>
      <c r="H10" s="12"/>
      <c r="J10" s="2" t="n">
        <f aca="false">RANDBETWEEN(10,99)</f>
        <v>98</v>
      </c>
      <c r="K10" s="2" t="n">
        <f aca="false">RANDBETWEEN(10,99)</f>
        <v>21</v>
      </c>
      <c r="L10" s="2" t="n">
        <f aca="false">RANDBETWEEN(10,99)</f>
        <v>26</v>
      </c>
      <c r="M10" s="14" t="n">
        <f aca="false">SUM(J10:L10)+$K$18</f>
        <v>155</v>
      </c>
      <c r="N10" s="2" t="n">
        <f aca="false">MAX(J10:L10)</f>
        <v>98</v>
      </c>
      <c r="O10" s="2" t="n">
        <f aca="false">MIN(J10:L10)</f>
        <v>21</v>
      </c>
      <c r="P10" s="2" t="n">
        <f aca="false">AVERAGE(J10:L10)</f>
        <v>48.3333333333333</v>
      </c>
      <c r="Q10" s="2" t="n">
        <f aca="false">COUNT(J10:L10)</f>
        <v>3</v>
      </c>
    </row>
    <row r="11" customFormat="false" ht="12.8" hidden="false" customHeight="false" outlineLevel="0" collapsed="false">
      <c r="A11" s="9" t="s">
        <v>72</v>
      </c>
      <c r="B11" s="9" t="s">
        <v>73</v>
      </c>
      <c r="C11" s="10" t="n">
        <v>113063</v>
      </c>
      <c r="D11" s="9" t="n">
        <v>50</v>
      </c>
      <c r="E11" s="9" t="s">
        <v>47</v>
      </c>
      <c r="F11" s="9" t="n">
        <v>9393183883</v>
      </c>
      <c r="G11" s="11" t="n">
        <v>40188</v>
      </c>
      <c r="H11" s="12"/>
      <c r="J11" s="2" t="n">
        <f aca="false">RANDBETWEEN(10,99)</f>
        <v>46</v>
      </c>
      <c r="K11" s="2" t="n">
        <f aca="false">RANDBETWEEN(10,99)</f>
        <v>26</v>
      </c>
      <c r="L11" s="2" t="n">
        <f aca="false">RANDBETWEEN(10,99)</f>
        <v>79</v>
      </c>
      <c r="M11" s="14" t="n">
        <f aca="false">SUM(J11:L11)+$K$18</f>
        <v>161</v>
      </c>
      <c r="N11" s="2" t="n">
        <f aca="false">MAX(J11:L11)</f>
        <v>79</v>
      </c>
      <c r="O11" s="2" t="n">
        <f aca="false">MIN(J11:L11)</f>
        <v>26</v>
      </c>
      <c r="P11" s="2" t="n">
        <f aca="false">AVERAGE(J11:L11)</f>
        <v>50.3333333333333</v>
      </c>
      <c r="Q11" s="2" t="n">
        <f aca="false">COUNT(J11:L11)</f>
        <v>3</v>
      </c>
    </row>
    <row r="12" customFormat="false" ht="12.8" hidden="false" customHeight="false" outlineLevel="0" collapsed="false">
      <c r="A12" s="2"/>
      <c r="B12" s="15"/>
      <c r="C12" s="16"/>
      <c r="D12" s="2"/>
      <c r="E12" s="2"/>
      <c r="F12" s="2"/>
      <c r="J12" s="2" t="n">
        <f aca="false">RANDBETWEEN(10,99)</f>
        <v>68</v>
      </c>
      <c r="K12" s="2" t="n">
        <f aca="false">RANDBETWEEN(10,99)</f>
        <v>58</v>
      </c>
      <c r="L12" s="2" t="n">
        <f aca="false">RANDBETWEEN(10,99)</f>
        <v>42</v>
      </c>
      <c r="M12" s="14" t="n">
        <f aca="false">SUM(J12:L12)+$K$18</f>
        <v>178</v>
      </c>
      <c r="N12" s="2" t="n">
        <f aca="false">MAX(J12:L12)</f>
        <v>68</v>
      </c>
      <c r="O12" s="2" t="n">
        <f aca="false">MIN(J12:L12)</f>
        <v>42</v>
      </c>
      <c r="P12" s="2" t="n">
        <f aca="false">AVERAGE(J12:L12)</f>
        <v>56</v>
      </c>
      <c r="Q12" s="2" t="n">
        <f aca="false">COUNT(J12:L12)</f>
        <v>3</v>
      </c>
    </row>
    <row r="13" customFormat="false" ht="12.8" hidden="false" customHeight="false" outlineLevel="0" collapsed="false">
      <c r="I13" s="13" t="s">
        <v>57</v>
      </c>
      <c r="J13" s="17" t="n">
        <f aca="false">SUM(J6:J12)</f>
        <v>482</v>
      </c>
      <c r="K13" s="17" t="n">
        <f aca="false">SUM(K6:K12)</f>
        <v>322</v>
      </c>
      <c r="L13" s="17" t="n">
        <f aca="false">SUM(L6:L12)</f>
        <v>430</v>
      </c>
      <c r="M13" s="14"/>
    </row>
    <row r="17" customFormat="false" ht="12.8" hidden="false" customHeight="false" outlineLevel="0" collapsed="false">
      <c r="K17" s="1" t="s">
        <v>74</v>
      </c>
    </row>
    <row r="18" customFormat="false" ht="12.8" hidden="false" customHeight="false" outlineLevel="0" collapsed="false">
      <c r="K18" s="1" t="n">
        <v>10</v>
      </c>
    </row>
  </sheetData>
  <conditionalFormatting sqref="E2">
    <cfRule type="expression" priority="2" aboveAverage="0" equalAverage="0" bottom="0" percent="0" rank="0" text="" dxfId="1">
      <formula>Basic_data!$E3=Basic_data!$H$2</formula>
    </cfRule>
  </conditionalFormatting>
  <conditionalFormatting sqref="A2:G11">
    <cfRule type="expression" priority="3" aboveAverage="0" equalAverage="0" bottom="0" percent="0" rank="0" text="" dxfId="2">
      <formula>Basic_data!$E2=Basic_data!$H$2</formula>
    </cfRule>
  </conditionalFormatting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I1" colorId="64" zoomScale="160" zoomScaleNormal="160" zoomScalePageLayoutView="100" workbookViewId="0">
      <selection pane="topLeft" activeCell="J2" activeCellId="0" sqref="J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18" width="14.33"/>
    <col collapsed="false" customWidth="false" hidden="false" outlineLevel="0" max="6" min="6" style="19" width="11.53"/>
    <col collapsed="false" customWidth="true" hidden="false" outlineLevel="0" max="7" min="7" style="1" width="15.36"/>
    <col collapsed="false" customWidth="true" hidden="false" outlineLevel="0" max="8" min="8" style="1" width="14.76"/>
    <col collapsed="false" customWidth="false" hidden="false" outlineLevel="0" max="10" min="9" style="1" width="11.53"/>
    <col collapsed="false" customWidth="true" hidden="false" outlineLevel="0" max="16" min="16" style="0" width="14.32"/>
    <col collapsed="false" customWidth="true" hidden="false" outlineLevel="0" max="18" min="18" style="0" width="17.13"/>
    <col collapsed="false" customWidth="true" hidden="false" outlineLevel="0" max="19" min="19" style="0" width="14.76"/>
  </cols>
  <sheetData>
    <row r="1" customFormat="false" ht="12.8" hidden="false" customHeight="false" outlineLevel="0" collapsed="false">
      <c r="A1" s="3" t="s">
        <v>75</v>
      </c>
      <c r="B1" s="3" t="s">
        <v>76</v>
      </c>
      <c r="C1" s="3" t="s">
        <v>77</v>
      </c>
      <c r="D1" s="3" t="s">
        <v>78</v>
      </c>
      <c r="E1" s="18" t="s">
        <v>79</v>
      </c>
      <c r="F1" s="19" t="s">
        <v>80</v>
      </c>
      <c r="G1" s="1" t="s">
        <v>81</v>
      </c>
      <c r="H1" s="1" t="s">
        <v>82</v>
      </c>
      <c r="I1" s="1" t="s">
        <v>83</v>
      </c>
      <c r="J1" s="1" t="s">
        <v>77</v>
      </c>
      <c r="L1" s="20" t="s">
        <v>75</v>
      </c>
      <c r="M1" s="20" t="s">
        <v>76</v>
      </c>
      <c r="N1" s="20" t="s">
        <v>77</v>
      </c>
      <c r="O1" s="20" t="s">
        <v>78</v>
      </c>
      <c r="P1" s="18" t="s">
        <v>79</v>
      </c>
      <c r="Q1" s="19" t="s">
        <v>80</v>
      </c>
      <c r="R1" s="1" t="s">
        <v>81</v>
      </c>
      <c r="S1" s="1" t="s">
        <v>82</v>
      </c>
    </row>
    <row r="2" customFormat="false" ht="12.8" hidden="false" customHeight="false" outlineLevel="0" collapsed="false">
      <c r="A2" s="1" t="s">
        <v>44</v>
      </c>
      <c r="B2" s="1" t="s">
        <v>45</v>
      </c>
      <c r="C2" s="3" t="s">
        <v>84</v>
      </c>
      <c r="D2" s="1" t="n">
        <v>9812345678</v>
      </c>
      <c r="E2" s="18" t="n">
        <v>5</v>
      </c>
      <c r="F2" s="19" t="n">
        <v>41954</v>
      </c>
      <c r="G2" s="3" t="str">
        <f aca="false">IF(AND(C2="Finance",E2&gt;=5),"YES","NO")</f>
        <v>YES</v>
      </c>
      <c r="H2" s="1" t="str">
        <f aca="false">IF(OR(C2="Finance",E2&gt;=5),"YES","NO")</f>
        <v>YES</v>
      </c>
      <c r="I2" s="1" t="n">
        <v>3</v>
      </c>
      <c r="J2" s="3" t="s">
        <v>11</v>
      </c>
      <c r="L2" s="0" t="str">
        <f aca="false">IFERROR(INDEX($A$2:$H$13, SMALL(IF($C$2:$C$13=$J$2, ROW($C$2:$C$13)-ROW($C$2)+1), ROW(A1)), ), "")</f>
        <v/>
      </c>
    </row>
    <row r="3" customFormat="false" ht="12.8" hidden="false" customHeight="false" outlineLevel="0" collapsed="false">
      <c r="A3" s="1" t="s">
        <v>48</v>
      </c>
      <c r="B3" s="1" t="s">
        <v>49</v>
      </c>
      <c r="C3" s="3" t="s">
        <v>85</v>
      </c>
      <c r="D3" s="1" t="n">
        <v>9812345679</v>
      </c>
      <c r="E3" s="18" t="n">
        <v>4</v>
      </c>
      <c r="F3" s="19" t="n">
        <v>49855</v>
      </c>
      <c r="G3" s="3" t="str">
        <f aca="false">IF(AND(C3="Finance",E3&gt;=5),"YES","NO")</f>
        <v>NO</v>
      </c>
      <c r="H3" s="1" t="str">
        <f aca="false">IF(OR(C3="Finance",E3&gt;=5),"YES","NO")</f>
        <v>NO</v>
      </c>
    </row>
    <row r="4" customFormat="false" ht="12.8" hidden="false" customHeight="false" outlineLevel="0" collapsed="false">
      <c r="A4" s="1" t="s">
        <v>50</v>
      </c>
      <c r="B4" s="1" t="s">
        <v>51</v>
      </c>
      <c r="C4" s="3" t="s">
        <v>11</v>
      </c>
      <c r="D4" s="1" t="n">
        <v>9812345680</v>
      </c>
      <c r="E4" s="18" t="n">
        <v>3</v>
      </c>
      <c r="F4" s="19" t="n">
        <v>94210</v>
      </c>
      <c r="G4" s="3" t="str">
        <f aca="false">IF(AND(C4="Finance",E4&gt;=5),"YES","NO")</f>
        <v>NO</v>
      </c>
      <c r="H4" s="1" t="str">
        <f aca="false">IF(OR(C4="Finance",E4&gt;=5),"YES","NO")</f>
        <v>NO</v>
      </c>
    </row>
    <row r="5" customFormat="false" ht="12.8" hidden="false" customHeight="false" outlineLevel="0" collapsed="false">
      <c r="A5" s="1" t="s">
        <v>52</v>
      </c>
      <c r="B5" s="1" t="s">
        <v>53</v>
      </c>
      <c r="C5" s="3" t="s">
        <v>84</v>
      </c>
      <c r="D5" s="1" t="n">
        <v>9812345681</v>
      </c>
      <c r="E5" s="18" t="n">
        <v>5</v>
      </c>
      <c r="F5" s="19" t="n">
        <v>74689</v>
      </c>
      <c r="G5" s="3" t="str">
        <f aca="false">IF(AND(C5="Finance",E5&gt;=5),"YES","NO")</f>
        <v>YES</v>
      </c>
      <c r="H5" s="1" t="str">
        <f aca="false">IF(OR(C5="Finance",E5&gt;=5),"YES","NO")</f>
        <v>YES</v>
      </c>
    </row>
    <row r="6" customFormat="false" ht="12.8" hidden="false" customHeight="false" outlineLevel="0" collapsed="false">
      <c r="A6" s="1" t="s">
        <v>62</v>
      </c>
      <c r="B6" s="1" t="s">
        <v>86</v>
      </c>
      <c r="C6" s="3" t="s">
        <v>85</v>
      </c>
      <c r="D6" s="1" t="n">
        <v>9812345682</v>
      </c>
      <c r="E6" s="18" t="n">
        <v>6</v>
      </c>
      <c r="F6" s="19" t="n">
        <v>90652</v>
      </c>
      <c r="G6" s="3" t="str">
        <f aca="false">IF(AND(C6="Finance",E6&gt;=5),"YES","NO")</f>
        <v>NO</v>
      </c>
      <c r="H6" s="1" t="str">
        <f aca="false">IF(OR(C6="Finance",E6&gt;=5),"YES","NO")</f>
        <v>YES</v>
      </c>
    </row>
    <row r="7" customFormat="false" ht="12.8" hidden="false" customHeight="false" outlineLevel="0" collapsed="false">
      <c r="A7" s="1" t="s">
        <v>64</v>
      </c>
      <c r="B7" s="1" t="s">
        <v>51</v>
      </c>
      <c r="C7" s="3" t="s">
        <v>85</v>
      </c>
      <c r="D7" s="1" t="n">
        <v>9812345683</v>
      </c>
      <c r="E7" s="18" t="n">
        <v>2</v>
      </c>
      <c r="F7" s="19" t="n">
        <v>74820</v>
      </c>
      <c r="G7" s="3" t="str">
        <f aca="false">IF(AND(C7="Finance",E7&gt;=5),"YES","NO")</f>
        <v>NO</v>
      </c>
      <c r="H7" s="1" t="str">
        <f aca="false">IF(OR(C7="Finance",E7&gt;=5),"YES","NO")</f>
        <v>NO</v>
      </c>
    </row>
    <row r="8" customFormat="false" ht="12.8" hidden="false" customHeight="false" outlineLevel="0" collapsed="false">
      <c r="A8" s="1" t="s">
        <v>66</v>
      </c>
      <c r="B8" s="1" t="s">
        <v>87</v>
      </c>
      <c r="C8" s="3" t="s">
        <v>11</v>
      </c>
      <c r="D8" s="1" t="n">
        <v>9812345684</v>
      </c>
      <c r="E8" s="18" t="n">
        <v>3</v>
      </c>
      <c r="F8" s="19" t="n">
        <v>85206</v>
      </c>
      <c r="G8" s="3" t="str">
        <f aca="false">IF(AND(C8="Finance",E8&gt;=5),"YES","NO")</f>
        <v>NO</v>
      </c>
      <c r="H8" s="1" t="str">
        <f aca="false">IF(OR(C8="Finance",E8&gt;=5),"YES","NO")</f>
        <v>NO</v>
      </c>
    </row>
    <row r="9" customFormat="false" ht="12.8" hidden="false" customHeight="false" outlineLevel="0" collapsed="false">
      <c r="A9" s="1" t="s">
        <v>70</v>
      </c>
      <c r="B9" s="1" t="s">
        <v>88</v>
      </c>
      <c r="C9" s="3" t="s">
        <v>85</v>
      </c>
      <c r="D9" s="1" t="n">
        <v>9812345686</v>
      </c>
      <c r="E9" s="18" t="n">
        <v>5</v>
      </c>
      <c r="F9" s="19" t="n">
        <v>30924</v>
      </c>
      <c r="G9" s="3" t="str">
        <f aca="false">IF(AND(C9="Finance",E9&gt;=5),"YES","NO")</f>
        <v>NO</v>
      </c>
      <c r="H9" s="1" t="str">
        <f aca="false">IF(OR(C9="Finance",E9&gt;=5),"YES","NO")</f>
        <v>YES</v>
      </c>
    </row>
    <row r="10" customFormat="false" ht="12.8" hidden="false" customHeight="false" outlineLevel="0" collapsed="false">
      <c r="A10" s="1" t="s">
        <v>72</v>
      </c>
      <c r="B10" s="1" t="s">
        <v>89</v>
      </c>
      <c r="C10" s="3" t="s">
        <v>11</v>
      </c>
      <c r="D10" s="1" t="n">
        <v>9812345687</v>
      </c>
      <c r="E10" s="18" t="n">
        <v>6</v>
      </c>
      <c r="F10" s="19" t="n">
        <v>57737</v>
      </c>
      <c r="G10" s="3" t="str">
        <f aca="false">IF(AND(C10="Finance",E10&gt;=5),"YES","NO")</f>
        <v>NO</v>
      </c>
      <c r="H10" s="1" t="str">
        <f aca="false">IF(OR(C10="Finance",E10&gt;=5),"YES","NO")</f>
        <v>YES</v>
      </c>
    </row>
    <row r="11" customFormat="false" ht="12.8" hidden="false" customHeight="true" outlineLevel="0" collapsed="false">
      <c r="A11" s="1" t="s">
        <v>90</v>
      </c>
      <c r="B11" s="1" t="s">
        <v>91</v>
      </c>
      <c r="C11" s="3" t="s">
        <v>11</v>
      </c>
      <c r="D11" s="1" t="n">
        <v>9812345688</v>
      </c>
      <c r="E11" s="18" t="n">
        <v>2</v>
      </c>
      <c r="F11" s="19" t="n">
        <v>36000</v>
      </c>
      <c r="G11" s="3" t="str">
        <f aca="false">IF(AND(C11="Finance",E11&gt;=5),"YES","NO")</f>
        <v>NO</v>
      </c>
      <c r="H11" s="1" t="str">
        <f aca="false">IF(OR(C11="Finance",E11&gt;=5),"YES","NO")</f>
        <v>NO</v>
      </c>
    </row>
    <row r="12" customFormat="false" ht="12.8" hidden="false" customHeight="true" outlineLevel="0" collapsed="false">
      <c r="A12" s="1" t="s">
        <v>92</v>
      </c>
      <c r="B12" s="1" t="s">
        <v>93</v>
      </c>
      <c r="C12" s="3" t="s">
        <v>11</v>
      </c>
      <c r="D12" s="1" t="n">
        <v>9812345689</v>
      </c>
      <c r="E12" s="18" t="n">
        <v>3</v>
      </c>
      <c r="F12" s="19" t="n">
        <v>96371</v>
      </c>
      <c r="G12" s="3" t="str">
        <f aca="false">IF(AND(C12="Finance",E12&gt;=5),"YES","NO")</f>
        <v>NO</v>
      </c>
      <c r="H12" s="1" t="str">
        <f aca="false">IF(OR(C12="Finance",E12&gt;=5),"YES","NO")</f>
        <v>NO</v>
      </c>
    </row>
    <row r="13" customFormat="false" ht="12.8" hidden="false" customHeight="true" outlineLevel="0" collapsed="false">
      <c r="A13" s="1" t="s">
        <v>94</v>
      </c>
      <c r="B13" s="1" t="s">
        <v>95</v>
      </c>
      <c r="C13" s="3" t="s">
        <v>85</v>
      </c>
      <c r="D13" s="1" t="n">
        <v>9812345690</v>
      </c>
      <c r="E13" s="18" t="n">
        <v>7</v>
      </c>
      <c r="F13" s="19" t="n">
        <v>85028</v>
      </c>
      <c r="G13" s="3" t="str">
        <f aca="false">IF(AND(C13="Finance",E13&gt;=5),"YES","NO")</f>
        <v>NO</v>
      </c>
      <c r="H13" s="1" t="str">
        <f aca="false">IF(OR(C13="Finance",E13&gt;=5),"YES","NO")</f>
        <v>YES</v>
      </c>
    </row>
    <row r="15" customFormat="false" ht="12.8" hidden="false" customHeight="true" outlineLevel="0" collapsed="false">
      <c r="L15" s="21"/>
    </row>
  </sheetData>
  <dataValidations count="2">
    <dataValidation allowBlank="true" errorStyle="stop" operator="equal" showDropDown="false" showErrorMessage="true" showInputMessage="false" sqref="C1:C1013" type="list">
      <formula1>""</formula1>
      <formula2>0</formula2>
    </dataValidation>
    <dataValidation allowBlank="true" errorStyle="stop" operator="equal" showDropDown="false" showErrorMessage="true" showInputMessage="false" sqref="J2" type="list">
      <formula1>"Finance,Operations,Sales"</formula1>
      <formula2>0</formula2>
    </dataValidation>
  </dataValidations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62"/>
  </cols>
  <sheetData>
    <row r="1" customFormat="false" ht="12.8" hidden="false" customHeight="false" outlineLevel="0" collapsed="false">
      <c r="A1" s="1" t="s">
        <v>96</v>
      </c>
    </row>
    <row r="2" customFormat="false" ht="12.8" hidden="false" customHeight="false" outlineLevel="0" collapsed="false">
      <c r="A2" s="1" t="s">
        <v>97</v>
      </c>
      <c r="B2" s="1" t="n">
        <f aca="false">LEN(A2)</f>
        <v>13</v>
      </c>
      <c r="C2" s="3" t="str">
        <f aca="false">LEFT(A2,FIND("-",A2,1)-1)</f>
        <v>Mumbai</v>
      </c>
      <c r="D2" s="1" t="n">
        <f aca="false">FIND("-",A2,1)</f>
        <v>7</v>
      </c>
      <c r="E2" s="1" t="str">
        <f aca="false">RIGHT(A2,LEN(A2)-FIND("-",A2,1))</f>
        <v>400056</v>
      </c>
    </row>
    <row r="3" customFormat="false" ht="12.8" hidden="false" customHeight="false" outlineLevel="0" collapsed="false">
      <c r="A3" s="1" t="s">
        <v>98</v>
      </c>
      <c r="B3" s="1" t="n">
        <f aca="false">LEN(A3)</f>
        <v>12</v>
      </c>
      <c r="C3" s="3" t="str">
        <f aca="false">LEFT(A3,FIND("-",A3,1)-1)</f>
        <v>Pune</v>
      </c>
      <c r="D3" s="1" t="n">
        <f aca="false">FIND("-",A3,1)</f>
        <v>5</v>
      </c>
    </row>
    <row r="4" customFormat="false" ht="12.8" hidden="false" customHeight="false" outlineLevel="0" collapsed="false">
      <c r="A4" s="1" t="s">
        <v>99</v>
      </c>
      <c r="B4" s="1" t="n">
        <f aca="false">LEN(A4)</f>
        <v>12</v>
      </c>
      <c r="C4" s="3" t="str">
        <f aca="false">LEFT(A4,FIND("-",A4,1)-1)</f>
        <v>Surat</v>
      </c>
      <c r="D4" s="1" t="n">
        <f aca="false">FIND("-",A4,1)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2025-10-10T22:06:00Z</dcterms:created>
  <dc:creator/>
  <dc:description/>
  <dc:language>en-US</dc:language>
  <cp:lastModifiedBy/>
  <dcterms:modified xsi:type="dcterms:W3CDTF">2025-10-15T22:59:02Z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